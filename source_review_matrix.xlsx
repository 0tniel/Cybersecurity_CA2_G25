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Review Matrix" sheetId="1" state="visible" r:id="rId3"/>
    <sheet name="Summary" sheetId="2" state="visible" r:id="rId4"/>
    <sheet name="How to use and notes" sheetId="3" state="visible" r:id="rId5"/>
  </sheets>
  <definedNames>
    <definedName function="false" hidden="true" localSheetId="0" name="_xlnm._FilterDatabase" vbProcedure="false">'Source Review Matrix'!$A$4:$L$34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<sst xmlns="http://schemas.openxmlformats.org/spreadsheetml/2006/main" count="345" uniqueCount="239">
  <si>
    <t xml:space="preserve">Source-Review Matrix: Cosmos Bank Cyberattack Case Study (Cybersecurity CA2, Group 25)</t>
  </si>
  <si>
    <t xml:space="preserve">Built from the project report (Table 1 extended to all 30 references). Colour = evidence class: green incident-specific, yellow comparative incident, white technical context, blue methodology.</t>
  </si>
  <si>
    <t xml:space="preserve">Ref.</t>
  </si>
  <si>
    <t xml:space="preserve">Authors / publisher</t>
  </si>
  <si>
    <t xml:space="preserve">Title</t>
  </si>
  <si>
    <t xml:space="preserve">Year</t>
  </si>
  <si>
    <t xml:space="preserve">Venue / publication</t>
  </si>
  <si>
    <t xml:space="preserve">Source type</t>
  </si>
  <si>
    <t xml:space="preserve">Key findings</t>
  </si>
  <si>
    <t xml:space="preserve">Banking systems involved</t>
  </si>
  <si>
    <t xml:space="preserve">Analytical theme</t>
  </si>
  <si>
    <t xml:space="preserve">Evidence class</t>
  </si>
  <si>
    <t xml:space="preserve">Limitation</t>
  </si>
  <si>
    <t xml:space="preserve">Where used in report</t>
  </si>
  <si>
    <t xml:space="preserve">FNU Jimmy</t>
  </si>
  <si>
    <t xml:space="preserve">Cybersecurity Threats and Vulnerabilities in Online Banking Systems</t>
  </si>
  <si>
    <t xml:space="preserve">Int. J. Scientific Research and Management (IJSRM)</t>
  </si>
  <si>
    <t xml:space="preserve">Journal article</t>
  </si>
  <si>
    <t xml:space="preserve">Reviews phishing, malware, ransomware, MITM, insider and DDoS threats in online banking; suggests 2FA, encryption, monitoring, patching, incident-response planning</t>
  </si>
  <si>
    <t xml:space="preserve">Online banking</t>
  </si>
  <si>
    <t xml:space="preserve">Attack characteristics &amp; security weaknesses</t>
  </si>
  <si>
    <t xml:space="preserve">Technical / general context</t>
  </si>
  <si>
    <t xml:space="preserve">No detail on ATM payment-switch compromise or Cosmos Bank</t>
  </si>
  <si>
    <t xml:space="preserve">Lit. Review</t>
  </si>
  <si>
    <t xml:space="preserve">S. O. Dawodu et al.</t>
  </si>
  <si>
    <t xml:space="preserve">Cybersecurity risk assessment in banking: Methodologies and best practices</t>
  </si>
  <si>
    <t xml:space="preserve">Computer Science &amp; IT Research Journal</t>
  </si>
  <si>
    <t xml:space="preserve">Compares risk-assessment methods (threat modelling, scenario analysis, red teaming) and stresses alignment with regulation and incident response</t>
  </si>
  <si>
    <t xml:space="preserve">Banking institutions (general)</t>
  </si>
  <si>
    <t xml:space="preserve">Defensive measures</t>
  </si>
  <si>
    <t xml:space="preserve">Broad and theoretical; no technical reconstruction of an ATM attack; controls not experimentally validated</t>
  </si>
  <si>
    <t xml:space="preserve">E. N. Kasanda, J. Phiri</t>
  </si>
  <si>
    <t xml:space="preserve">ATM Security: A Case Study of Emerging Threats</t>
  </si>
  <si>
    <t xml:space="preserve">Int. J. Advanced Studies in Computer Science and Engineering</t>
  </si>
  <si>
    <t xml:space="preserve">Describes ATM software architecture and threats (skimming, shimming, malware, MITM, jackpotting); recommends whitelisting, patching, segmentation, IDS</t>
  </si>
  <si>
    <t xml:space="preserve">ATM</t>
  </si>
  <si>
    <t xml:space="preserve">ATM switching &amp; unauthorized withdrawals</t>
  </si>
  <si>
    <t xml:space="preserve">Identifies threats and controls but does not test them; not Cosmos-specific</t>
  </si>
  <si>
    <t xml:space="preserve">H. Ogata et al.</t>
  </si>
  <si>
    <t xml:space="preserve">Secure ATM device design by control command verification</t>
  </si>
  <si>
    <t xml:space="preserve">CCIS, vol. 1116</t>
  </si>
  <si>
    <t xml:space="preserve">Conference / book chapter</t>
  </si>
  <si>
    <t xml:space="preserve">Proposes verifying peripheral commands before execution to block logical attacks on ATM cash dispensers</t>
  </si>
  <si>
    <t xml:space="preserve">Protects single ATMs; does not address payment-switch compromise</t>
  </si>
  <si>
    <t xml:space="preserve">K. R. Dodiya, K. Joshi, K. Kumar</t>
  </si>
  <si>
    <t xml:space="preserve">Unmasking the Threat: Investigating ATM Malware Through Digital Forensic Analyses</t>
  </si>
  <si>
    <t xml:space="preserve">Int. J. Recent and Innovation Trends in Computing and Communication</t>
  </si>
  <si>
    <t xml:space="preserve">Analysed 35 ATM malware samples with PEStudio (hashes, DLLs, imports, strings); notes limits of signature-based detection</t>
  </si>
  <si>
    <t xml:space="preserve">Malware-file analysis only; not Cosmos-specific</t>
  </si>
  <si>
    <t xml:space="preserve">Lit. Review; 4.1</t>
  </si>
  <si>
    <t xml:space="preserve">CISA, U.S. Treasury, FBI, U.S. Cyber Command</t>
  </si>
  <si>
    <t xml:space="preserve">FASTCash 2.0: North Korea's BeagleBoyz Robbing Banks (AA20-239A)</t>
  </si>
  <si>
    <t xml:space="preserve">Joint Cybersecurity Advisory</t>
  </si>
  <si>
    <t xml:space="preserve">Joint advisory</t>
  </si>
  <si>
    <t xml:space="preserve">Malware on payment-switch servers intercepts ISO 8583 requests and returns fraudulent approvals; lists mitigations (isolation, MFA, response validation, logging)</t>
  </si>
  <si>
    <t xml:space="preserve">ATM switch, payment processing</t>
  </si>
  <si>
    <t xml:space="preserve">Comparative incident</t>
  </si>
  <si>
    <t xml:space="preserve">Documents a different campaign; not proof the same method was used at Cosmos Bank</t>
  </si>
  <si>
    <t xml:space="preserve">Lit. Review; 4.1; 4.6</t>
  </si>
  <si>
    <t xml:space="preserve">D.-Y. Kao</t>
  </si>
  <si>
    <t xml:space="preserve">Comprehending Taiwan ATM Heist: From Cyber-attack Phases to Investigation Processes</t>
  </si>
  <si>
    <t xml:space="preserve">ICACT Trans. Advanced Communications Technology</t>
  </si>
  <si>
    <t xml:space="preserve">Maps the 2016 Taiwan First Bank heist into attack phases and ISO/IEC 27043 investigation process classes</t>
  </si>
  <si>
    <t xml:space="preserve">ATM, internal network</t>
  </si>
  <si>
    <t xml:space="preserve">Different incident; Cosmos attack sequence not established</t>
  </si>
  <si>
    <t xml:space="preserve">Lit. Review; 3.2</t>
  </si>
  <si>
    <t xml:space="preserve">L. S. Lee, R. D. Mautz III</t>
  </si>
  <si>
    <t xml:space="preserve">The SWIFT Heist: A Cybersecurity Case</t>
  </si>
  <si>
    <t xml:space="preserve">J. Forensic Accounting Research</t>
  </si>
  <si>
    <t xml:space="preserve">Journal case study</t>
  </si>
  <si>
    <t xml:space="preserve">Bangladesh Bank 2016 heist: phishing entry, 35 fraudulent requests (~US$951M), ~US$81M lost; applies COSO internal controls</t>
  </si>
  <si>
    <t xml:space="preserve">SWIFT</t>
  </si>
  <si>
    <t xml:space="preserve">SWIFT-related fraudulent transactions</t>
  </si>
  <si>
    <t xml:space="preserve">Different incident (SWIFT transfers only, no ATM side)</t>
  </si>
  <si>
    <t xml:space="preserve">O. Kolesnikov, Securonix Threat Research Team</t>
  </si>
  <si>
    <t xml:space="preserve">Cosmos Bank SWIFT/ATM US$13.5 Million Cyber Attack Detection Using Security Analytics</t>
  </si>
  <si>
    <t xml:space="preserve">Securonix Threat Research report</t>
  </si>
  <si>
    <t xml:space="preserve">Technical report</t>
  </si>
  <si>
    <t xml:space="preserve">Primary incident source: ~US$11.5M ATM + ~US$2M SWIFT; proposes a Malicious Central component altering ISO 8583 responses; recommends correlating ATM, network, endpoint and SWIFT data</t>
  </si>
  <si>
    <t xml:space="preserve">ATM switch, CBS, SWIFT</t>
  </si>
  <si>
    <t xml:space="preserve">Incident-specific</t>
  </si>
  <si>
    <t xml:space="preserve">Reconstruction, not a verified forensic account; initial access unconfirmed</t>
  </si>
  <si>
    <t xml:space="preserve">Intro; Lit. Review; 4.1; 5.1-5.4</t>
  </si>
  <si>
    <t xml:space="preserve">S. Dhaarani, A. A. A. Ameer</t>
  </si>
  <si>
    <t xml:space="preserve">A Case Study on Cyber Security Threat to Cosmos Bank</t>
  </si>
  <si>
    <t xml:space="preserve">n.d.</t>
  </si>
  <si>
    <t xml:space="preserve">Indian J. Integrated Research in Law, vol. III, issue VI</t>
  </si>
  <si>
    <t xml:space="preserve">Examines the Cosmos Bank malware attack, its effect on consumer trust and digital banking; recommends staff training, anomaly detection, customer education</t>
  </si>
  <si>
    <t xml:space="preserve">Banking sector (general)</t>
  </si>
  <si>
    <t xml:space="preserve">Limited technical depth; the report's Lit. Review text says '2019' for the attack, but the incident was Aug 2018 (check)</t>
  </si>
  <si>
    <t xml:space="preserve">A. N. Mian et al.</t>
  </si>
  <si>
    <t xml:space="preserve">Enhancing communication adaptability between payment card processing networks</t>
  </si>
  <si>
    <t xml:space="preserve">IEEE Communications Magazine</t>
  </si>
  <si>
    <t xml:space="preserve">IEEE journal</t>
  </si>
  <si>
    <t xml:space="preserve">Explains ISO 8583 message exchange between ATM/POS/web entities and proposes metadata to handle custom fields</t>
  </si>
  <si>
    <t xml:space="preserve">Payment processing</t>
  </si>
  <si>
    <t xml:space="preserve">About interoperability, not attacks or vulnerabilities</t>
  </si>
  <si>
    <t xml:space="preserve">SC Magazine</t>
  </si>
  <si>
    <t xml:space="preserve">News Briefs (Ploutus ATM malware)</t>
  </si>
  <si>
    <t xml:space="preserve">SC Magazine, p. 12</t>
  </si>
  <si>
    <t xml:space="preserve">News brief</t>
  </si>
  <si>
    <t xml:space="preserve">Reports Ploutus ATM malware, introduced via CD-ROM drive and triggered by keypad command codes</t>
  </si>
  <si>
    <t xml:space="preserve">Short news item; no detailed technical or detection analysis</t>
  </si>
  <si>
    <t xml:space="preserve">D. Geer</t>
  </si>
  <si>
    <t xml:space="preserve">SWIFT has not seen its last 'bank robbery'</t>
  </si>
  <si>
    <t xml:space="preserve">CSO (trade journal)</t>
  </si>
  <si>
    <t xml:space="preserve">Trade article</t>
  </si>
  <si>
    <t xml:space="preserve">SWIFT intrusions via spear-phishing and supply chain; Carbanak/Odinaff malware; defences: segmentation, MFA, endpoint protection, anomaly detection</t>
  </si>
  <si>
    <t xml:space="preserve">Focuses on SWIFT and Bangladesh Bank; nothing on the ATM switch or Cosmos Bank</t>
  </si>
  <si>
    <t xml:space="preserve">P. Strozniak</t>
  </si>
  <si>
    <t xml:space="preserve">ATM Jackpotting Scheme Hits N.Y. Credit Unions for More Than $400,000</t>
  </si>
  <si>
    <t xml:space="preserve">Credit Union Times</t>
  </si>
  <si>
    <t xml:space="preserve">News article</t>
  </si>
  <si>
    <t xml:space="preserve">Alleged jackpotting of ATMs (~US$418,820) by two teams; shows compromised ATM infrastructure can enable direct cash theft</t>
  </si>
  <si>
    <t xml:space="preserve">Reports an alleged crime; no malware or vulnerability analysis</t>
  </si>
  <si>
    <t xml:space="preserve">K. Kajendran, J. A. Mayan</t>
  </si>
  <si>
    <t xml:space="preserve">ATM Ethernet Traffic Analysis for Enhanced Forensic Detection of IP Packets</t>
  </si>
  <si>
    <t xml:space="preserve">2024 ASIANCON (IEEE)</t>
  </si>
  <si>
    <t xml:space="preserve">IEEE conference paper</t>
  </si>
  <si>
    <t xml:space="preserve">Wireshark capture of ATM transactions shows consistent packet sizes and sequences, useful for forensics but also a risk if exposed</t>
  </si>
  <si>
    <t xml:space="preserve">ATM network</t>
  </si>
  <si>
    <t xml:space="preserve">No Cosmos Bank traffic; no malware targeting ATM switches</t>
  </si>
  <si>
    <t xml:space="preserve">Lit. Review; 4.1; 4.5</t>
  </si>
  <si>
    <t xml:space="preserve">D. Rosyalita</t>
  </si>
  <si>
    <t xml:space="preserve">Cybersecurity Challenges in the Modern Banking Industry</t>
  </si>
  <si>
    <t xml:space="preserve">Asian J. Multidisciplinary Research</t>
  </si>
  <si>
    <t xml:space="preserve">Cited for cyber threats facing digital banking (phishing, malware, unauthorized access, insider attacks)</t>
  </si>
  <si>
    <t xml:space="preserve">Banking (general)</t>
  </si>
  <si>
    <t xml:space="preserve">General background only (summary taken from how the report cites it)</t>
  </si>
  <si>
    <t xml:space="preserve">Introduction</t>
  </si>
  <si>
    <t xml:space="preserve">P. Sharma</t>
  </si>
  <si>
    <t xml:space="preserve">Cybersecurity Risks in Digital Banking: A Financial Perspective</t>
  </si>
  <si>
    <t xml:space="preserve">Int. Scientific J. Engineering and Management</t>
  </si>
  <si>
    <t xml:space="preserve">Cited alongside [16] for threats to digital banking</t>
  </si>
  <si>
    <t xml:space="preserve">A. A. Darem et al.</t>
  </si>
  <si>
    <t xml:space="preserve">Cyber Threats Classifications and Countermeasures in Banking and Financial Sector</t>
  </si>
  <si>
    <t xml:space="preserve">IEEE Access, vol. 11</t>
  </si>
  <si>
    <t xml:space="preserve">Classifies cyber threats to the banking sector and evaluates countermeasures</t>
  </si>
  <si>
    <t xml:space="preserve">General sector overview; not Cosmos-specific</t>
  </si>
  <si>
    <t xml:space="preserve">Introduction; 3.2</t>
  </si>
  <si>
    <t xml:space="preserve">G. Mahadevan</t>
  </si>
  <si>
    <t xml:space="preserve">Cybersecurity in Banking and Financial Software Solutions</t>
  </si>
  <si>
    <t xml:space="preserve">Economic Sciences</t>
  </si>
  <si>
    <t xml:space="preserve">Discusses cybersecurity challenges in banking software and protecting sensitive data and system reliability</t>
  </si>
  <si>
    <t xml:space="preserve">Banking software</t>
  </si>
  <si>
    <t xml:space="preserve">General background only</t>
  </si>
  <si>
    <t xml:space="preserve">S. Shekhar</t>
  </si>
  <si>
    <t xml:space="preserve">Why It's So Easy to Make an ATM Obey Hacker Commands</t>
  </si>
  <si>
    <t xml:space="preserve">PCQuest</t>
  </si>
  <si>
    <t xml:space="preserve">Magazine article</t>
  </si>
  <si>
    <t xml:space="preserve">Describes how weak ATM software, network configuration and physical security expose cash-out infrastructure</t>
  </si>
  <si>
    <t xml:space="preserve">Magazine article; not Cosmos-specific</t>
  </si>
  <si>
    <t xml:space="preserve">P. Kaur et al.</t>
  </si>
  <si>
    <t xml:space="preserve">ATM Card Cloning and Ethical Considerations</t>
  </si>
  <si>
    <t xml:space="preserve">Science and Engineering Ethics, vol. 25</t>
  </si>
  <si>
    <t xml:space="preserve">Examines ATM card cloning and skimming and their financial and privacy impact</t>
  </si>
  <si>
    <t xml:space="preserve">Cardholder data, ATM</t>
  </si>
  <si>
    <t xml:space="preserve">Card-level fraud; not switch or SWIFT compromise</t>
  </si>
  <si>
    <t xml:space="preserve">S. Cheesewright</t>
  </si>
  <si>
    <t xml:space="preserve">A SWIFT Response</t>
  </si>
  <si>
    <t xml:space="preserve">InTheBlack, pp. 58-59</t>
  </si>
  <si>
    <t xml:space="preserve">Background on SWIFT as the network for standardized financial messages between institutions</t>
  </si>
  <si>
    <t xml:space="preserve">Background only; dated and not security-focused</t>
  </si>
  <si>
    <t xml:space="preserve">H. Morgan</t>
  </si>
  <si>
    <t xml:space="preserve">Conducting a Qualitative Document Analysis</t>
  </si>
  <si>
    <t xml:space="preserve">The Qualitative Report, vol. 27</t>
  </si>
  <si>
    <t xml:space="preserve">Defines document analysis, thematic analysis and document selection criteria (authenticity, credibility, representativeness, meaning)</t>
  </si>
  <si>
    <t xml:space="preserve">Research method</t>
  </si>
  <si>
    <t xml:space="preserve">Methodology &amp; threat-modelling framework</t>
  </si>
  <si>
    <t xml:space="preserve">Methodology / framework</t>
  </si>
  <si>
    <t xml:space="preserve">Methodology source, not incident evidence</t>
  </si>
  <si>
    <t xml:space="preserve">3.1; 3.2; 3.3; 4.1; 4.2</t>
  </si>
  <si>
    <t xml:space="preserve">A. Dedeke, K. Masterson</t>
  </si>
  <si>
    <t xml:space="preserve">Contrasting cybersecurity implementation frameworks (CIF) from three countries</t>
  </si>
  <si>
    <t xml:space="preserve">Information &amp; Computer Security, vol. 27</t>
  </si>
  <si>
    <t xml:space="preserve">Shows an assessment matrix used as a coding protocol to compare frameworks</t>
  </si>
  <si>
    <t xml:space="preserve">Matrix is used only as an organizing aid, not as their framework-comparison method</t>
  </si>
  <si>
    <t xml:space="preserve">3.2</t>
  </si>
  <si>
    <t xml:space="preserve">K. F. Hasan et al.</t>
  </si>
  <si>
    <t xml:space="preserve">ISADM: Integrated STRIDE, ATT&amp;CK and D3FEND Model</t>
  </si>
  <si>
    <t xml:space="preserve">IEEE Access, vol. 13</t>
  </si>
  <si>
    <t xml:space="preserve">Combines STRIDE, ATT&amp;CK and D3FEND for fintech threat modelling</t>
  </si>
  <si>
    <t xml:space="preserve">Threat modelling</t>
  </si>
  <si>
    <t xml:space="preserve">Framework; the study adapts it and does not use its frequency-based scoring</t>
  </si>
  <si>
    <t xml:space="preserve">3.4; 4.4; 4.6; 5.2</t>
  </si>
  <si>
    <t xml:space="preserve">V. Rusnak et al.</t>
  </si>
  <si>
    <t xml:space="preserve">Improving Cybersecurity Incident Analysis Workflow with Analytical Provenance</t>
  </si>
  <si>
    <t xml:space="preserve">2022 Int. Conf. Information Visualisation (IV)</t>
  </si>
  <si>
    <t xml:space="preserve">Conference paper</t>
  </si>
  <si>
    <t xml:space="preserve">Incident-analysis workflow using analytical provenance (summary based on title only)</t>
  </si>
  <si>
    <t xml:space="preserve">Incident analysis</t>
  </si>
  <si>
    <t xml:space="preserve">Not cited anywhere in the body text of the report (check)</t>
  </si>
  <si>
    <t xml:space="preserve">Reference list only</t>
  </si>
  <si>
    <t xml:space="preserve">T. Moilanen et al.</t>
  </si>
  <si>
    <t xml:space="preserve">Developing a Feasible and Credible Method for Analyzing Healthcare Documents as Written Data</t>
  </si>
  <si>
    <t xml:space="preserve">Global Qualitative Nursing Research, vol. 9</t>
  </si>
  <si>
    <t xml:space="preserve">Method for document selection and extraction supporting a source-review matrix</t>
  </si>
  <si>
    <t xml:space="preserve">Healthcare-focused methodology</t>
  </si>
  <si>
    <t xml:space="preserve">4.1; 4.2</t>
  </si>
  <si>
    <t xml:space="preserve">R. Ross</t>
  </si>
  <si>
    <t xml:space="preserve">Guide for Conducting Risk Assessments (NIST SP 800-30 Rev. 1)</t>
  </si>
  <si>
    <t xml:space="preserve">NIST</t>
  </si>
  <si>
    <t xml:space="preserve">Standard / guidance</t>
  </si>
  <si>
    <t xml:space="preserve">Risk assessment guidance: critical assets, attack vectors, qualitative prioritization</t>
  </si>
  <si>
    <t xml:space="preserve">Risk assessment</t>
  </si>
  <si>
    <t xml:space="preserve">General guidance; not incident-specific</t>
  </si>
  <si>
    <t xml:space="preserve">4.3; 4.5; 5.2; 5.3</t>
  </si>
  <si>
    <t xml:space="preserve">MITRE</t>
  </si>
  <si>
    <t xml:space="preserve">D3FEND: A Knowledge Graph of Cybersecurity Countermeasures</t>
  </si>
  <si>
    <t xml:space="preserve">MITRE (online, accessed 16 Oct 2026)</t>
  </si>
  <si>
    <t xml:space="preserve">Online framework</t>
  </si>
  <si>
    <t xml:space="preserve">Structured catalogue of defensive techniques that complements ATT&amp;CK</t>
  </si>
  <si>
    <t xml:space="preserve">Defence mapping</t>
  </si>
  <si>
    <t xml:space="preserve">Framework; not incident-specific</t>
  </si>
  <si>
    <t xml:space="preserve">3.4.5; 4.6; 5.2</t>
  </si>
  <si>
    <t xml:space="preserve">The Cosmos Co-operative Bank Ltd.</t>
  </si>
  <si>
    <t xml:space="preserve">113th Annual Report 2018-2019</t>
  </si>
  <si>
    <t xml:space="preserve">Cosmos Bank</t>
  </si>
  <si>
    <t xml:space="preserve">Official report</t>
  </si>
  <si>
    <t xml:space="preserve">Confirms ATM switch attack on 11 Aug 2018 and SWIFT gateway attack on 13 Aug 2018; reports disruption, premature deposit withdrawals, lower card commission</t>
  </si>
  <si>
    <t xml:space="preserve">ATM switch, SWIFT</t>
  </si>
  <si>
    <t xml:space="preserve">Bank's own summary; no technical detail of the attack</t>
  </si>
  <si>
    <t xml:space="preserve">5.1; 5.4</t>
  </si>
  <si>
    <t xml:space="preserve">n.d. = no date given in the report's reference list. Entries for [16], [17], [19]-[22] and [26] are brief because the report only cites them in passing; their summaries come from the report's own wording or the title.</t>
  </si>
  <si>
    <t xml:space="preserve">Summary of sources (formulas update if you edit the matrix)</t>
  </si>
  <si>
    <t xml:space="preserve">No. of sources</t>
  </si>
  <si>
    <t xml:space="preserve">Total</t>
  </si>
  <si>
    <t xml:space="preserve">Total references in matrix</t>
  </si>
  <si>
    <t xml:space="preserve">Meets 30-reference minimum?</t>
  </si>
  <si>
    <t xml:space="preserve">HOW TO USE</t>
  </si>
  <si>
    <t xml:space="preserve">1. 'Source Review Matrix' is the working file for the methodology (report Sections 3.2 and 4.1): one row per source, with findings, theme and limitation.</t>
  </si>
  <si>
    <t xml:space="preserve">2. Filter by 'Analytical theme' to see the sources behind each of the four themes, or by 'Evidence class' to separate incident-specific evidence from comparative material.</t>
  </si>
  <si>
    <t xml:space="preserve">3. Only [9], [10] and [30] are incident-specific for Cosmos Bank. The report states that findings from other incidents are context, not proof.</t>
  </si>
  <si>
    <t xml:space="preserve">THINGS TO CHECK IN THE REPORT</t>
  </si>
  <si>
    <t xml:space="preserve">- Table 1 in the report lists only 11 of the 30 sources; this workbook covers all 30. You may want to mention that in Section 4.1.</t>
  </si>
  <si>
    <t xml:space="preserve">- Reference [26] appears in the reference list but is not cited in the text.</t>
  </si>
  <si>
    <t xml:space="preserve">- Reference [10] is described in the Literature Review as a '2019' attack; the attack was in August 2018.</t>
  </si>
  <si>
    <t xml:space="preserve">- Links in references [27]-[30] contain '?utm_source=chatgpt.com', which should be removed.</t>
  </si>
  <si>
    <t xml:space="preserve">- The report has no separate Conclusion section, which the assessment sheet requires.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</si>
</sst>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8" min="8" style="0" width="22"/>
    <col collapsed="false" customWidth="true" hidden="false" outlineLevel="0" max="9" min="9" style="0" width="32"/>
    <col collapsed="false" customWidth="true" hidden="false" outlineLevel="0" max="10" min="10" style="0" width="20"/>
    <col collapsed="false" customWidth="true" hidden="false" outlineLevel="0" max="11" min="11" style="0" width="45"/>
    <col collapsed="false" customWidth="true" hidden="false" outlineLevel="0" max="12" min="1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5.05" hidden="false" customHeight="false" outlineLevel="0" collapsed="false">
      <c r="A5" s="4" t="n">
        <v>1</v>
      </c>
      <c r="B5" s="5" t="s">
        <v>14</v>
      </c>
      <c r="C5" s="5" t="s">
        <v>15</v>
      </c>
      <c r="D5" s="4" t="n">
        <v>2024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</row>
    <row r="6" customFormat="false" ht="35.05" hidden="false" customHeight="false" outlineLevel="0" collapsed="false">
      <c r="A6" s="4" t="n">
        <v>2</v>
      </c>
      <c r="B6" s="5" t="s">
        <v>24</v>
      </c>
      <c r="C6" s="5" t="s">
        <v>25</v>
      </c>
      <c r="D6" s="4" t="n">
        <v>2023</v>
      </c>
      <c r="E6" s="5" t="s">
        <v>26</v>
      </c>
      <c r="F6" s="5" t="s">
        <v>17</v>
      </c>
      <c r="G6" s="5" t="s">
        <v>27</v>
      </c>
      <c r="H6" s="5" t="s">
        <v>28</v>
      </c>
      <c r="I6" s="5" t="s">
        <v>29</v>
      </c>
      <c r="J6" s="5" t="s">
        <v>21</v>
      </c>
      <c r="K6" s="5" t="s">
        <v>30</v>
      </c>
      <c r="L6" s="5" t="s">
        <v>23</v>
      </c>
    </row>
    <row r="7" customFormat="false" ht="35.05" hidden="false" customHeight="false" outlineLevel="0" collapsed="false">
      <c r="A7" s="4" t="n">
        <v>3</v>
      </c>
      <c r="B7" s="5" t="s">
        <v>31</v>
      </c>
      <c r="C7" s="5" t="s">
        <v>32</v>
      </c>
      <c r="D7" s="4" t="n">
        <v>2018</v>
      </c>
      <c r="E7" s="5" t="s">
        <v>33</v>
      </c>
      <c r="F7" s="5" t="s">
        <v>17</v>
      </c>
      <c r="G7" s="5" t="s">
        <v>34</v>
      </c>
      <c r="H7" s="5" t="s">
        <v>35</v>
      </c>
      <c r="I7" s="5" t="s">
        <v>36</v>
      </c>
      <c r="J7" s="5" t="s">
        <v>21</v>
      </c>
      <c r="K7" s="5" t="s">
        <v>37</v>
      </c>
      <c r="L7" s="5" t="s">
        <v>23</v>
      </c>
    </row>
    <row r="8" customFormat="false" ht="23.85" hidden="false" customHeight="false" outlineLevel="0" collapsed="false">
      <c r="A8" s="4" t="n">
        <v>4</v>
      </c>
      <c r="B8" s="5" t="s">
        <v>38</v>
      </c>
      <c r="C8" s="5" t="s">
        <v>39</v>
      </c>
      <c r="D8" s="4" t="n">
        <v>2019</v>
      </c>
      <c r="E8" s="5" t="s">
        <v>40</v>
      </c>
      <c r="F8" s="5" t="s">
        <v>41</v>
      </c>
      <c r="G8" s="5" t="s">
        <v>42</v>
      </c>
      <c r="H8" s="5" t="s">
        <v>35</v>
      </c>
      <c r="I8" s="5" t="s">
        <v>29</v>
      </c>
      <c r="J8" s="5" t="s">
        <v>21</v>
      </c>
      <c r="K8" s="5" t="s">
        <v>43</v>
      </c>
      <c r="L8" s="5" t="s">
        <v>23</v>
      </c>
    </row>
    <row r="9" customFormat="false" ht="35.05" hidden="false" customHeight="false" outlineLevel="0" collapsed="false">
      <c r="A9" s="4" t="n">
        <v>5</v>
      </c>
      <c r="B9" s="5" t="s">
        <v>44</v>
      </c>
      <c r="C9" s="5" t="s">
        <v>45</v>
      </c>
      <c r="D9" s="4" t="n">
        <v>2024</v>
      </c>
      <c r="E9" s="5" t="s">
        <v>46</v>
      </c>
      <c r="F9" s="5" t="s">
        <v>17</v>
      </c>
      <c r="G9" s="5" t="s">
        <v>47</v>
      </c>
      <c r="H9" s="5" t="s">
        <v>35</v>
      </c>
      <c r="I9" s="5" t="s">
        <v>36</v>
      </c>
      <c r="J9" s="5" t="s">
        <v>21</v>
      </c>
      <c r="K9" s="5" t="s">
        <v>48</v>
      </c>
      <c r="L9" s="5" t="s">
        <v>49</v>
      </c>
    </row>
    <row r="10" customFormat="false" ht="35.05" hidden="false" customHeight="false" outlineLevel="0" collapsed="false">
      <c r="A10" s="6" t="n">
        <v>6</v>
      </c>
      <c r="B10" s="7" t="s">
        <v>50</v>
      </c>
      <c r="C10" s="7" t="s">
        <v>51</v>
      </c>
      <c r="D10" s="6" t="n">
        <v>2020</v>
      </c>
      <c r="E10" s="7" t="s">
        <v>52</v>
      </c>
      <c r="F10" s="7" t="s">
        <v>53</v>
      </c>
      <c r="G10" s="7" t="s">
        <v>54</v>
      </c>
      <c r="H10" s="7" t="s">
        <v>55</v>
      </c>
      <c r="I10" s="7" t="s">
        <v>36</v>
      </c>
      <c r="J10" s="7" t="s">
        <v>56</v>
      </c>
      <c r="K10" s="7" t="s">
        <v>57</v>
      </c>
      <c r="L10" s="7" t="s">
        <v>58</v>
      </c>
    </row>
    <row r="11" customFormat="false" ht="23.85" hidden="false" customHeight="false" outlineLevel="0" collapsed="false">
      <c r="A11" s="6" t="n">
        <v>7</v>
      </c>
      <c r="B11" s="7" t="s">
        <v>59</v>
      </c>
      <c r="C11" s="7" t="s">
        <v>60</v>
      </c>
      <c r="D11" s="6" t="n">
        <v>2019</v>
      </c>
      <c r="E11" s="7" t="s">
        <v>61</v>
      </c>
      <c r="F11" s="7" t="s">
        <v>17</v>
      </c>
      <c r="G11" s="7" t="s">
        <v>62</v>
      </c>
      <c r="H11" s="7" t="s">
        <v>63</v>
      </c>
      <c r="I11" s="7" t="s">
        <v>20</v>
      </c>
      <c r="J11" s="7" t="s">
        <v>56</v>
      </c>
      <c r="K11" s="7" t="s">
        <v>64</v>
      </c>
      <c r="L11" s="7" t="s">
        <v>65</v>
      </c>
    </row>
    <row r="12" customFormat="false" ht="23.85" hidden="false" customHeight="false" outlineLevel="0" collapsed="false">
      <c r="A12" s="6" t="n">
        <v>8</v>
      </c>
      <c r="B12" s="7" t="s">
        <v>66</v>
      </c>
      <c r="C12" s="7" t="s">
        <v>67</v>
      </c>
      <c r="D12" s="6" t="n">
        <v>2025</v>
      </c>
      <c r="E12" s="7" t="s">
        <v>68</v>
      </c>
      <c r="F12" s="7" t="s">
        <v>69</v>
      </c>
      <c r="G12" s="7" t="s">
        <v>70</v>
      </c>
      <c r="H12" s="7" t="s">
        <v>71</v>
      </c>
      <c r="I12" s="7" t="s">
        <v>72</v>
      </c>
      <c r="J12" s="7" t="s">
        <v>56</v>
      </c>
      <c r="K12" s="7" t="s">
        <v>73</v>
      </c>
      <c r="L12" s="7" t="s">
        <v>49</v>
      </c>
    </row>
    <row r="13" customFormat="false" ht="35.05" hidden="false" customHeight="false" outlineLevel="0" collapsed="false">
      <c r="A13" s="8" t="n">
        <v>9</v>
      </c>
      <c r="B13" s="9" t="s">
        <v>74</v>
      </c>
      <c r="C13" s="9" t="s">
        <v>75</v>
      </c>
      <c r="D13" s="8" t="n">
        <v>2018</v>
      </c>
      <c r="E13" s="9" t="s">
        <v>76</v>
      </c>
      <c r="F13" s="9" t="s">
        <v>77</v>
      </c>
      <c r="G13" s="9" t="s">
        <v>78</v>
      </c>
      <c r="H13" s="9" t="s">
        <v>79</v>
      </c>
      <c r="I13" s="9" t="s">
        <v>36</v>
      </c>
      <c r="J13" s="9" t="s">
        <v>80</v>
      </c>
      <c r="K13" s="9" t="s">
        <v>81</v>
      </c>
      <c r="L13" s="9" t="s">
        <v>82</v>
      </c>
    </row>
    <row r="14" customFormat="false" ht="35.05" hidden="false" customHeight="false" outlineLevel="0" collapsed="false">
      <c r="A14" s="8" t="n">
        <v>10</v>
      </c>
      <c r="B14" s="9" t="s">
        <v>83</v>
      </c>
      <c r="C14" s="9" t="s">
        <v>84</v>
      </c>
      <c r="D14" s="8" t="s">
        <v>85</v>
      </c>
      <c r="E14" s="9" t="s">
        <v>86</v>
      </c>
      <c r="F14" s="9" t="s">
        <v>69</v>
      </c>
      <c r="G14" s="9" t="s">
        <v>87</v>
      </c>
      <c r="H14" s="9" t="s">
        <v>88</v>
      </c>
      <c r="I14" s="9" t="s">
        <v>20</v>
      </c>
      <c r="J14" s="9" t="s">
        <v>80</v>
      </c>
      <c r="K14" s="9" t="s">
        <v>89</v>
      </c>
      <c r="L14" s="9" t="s">
        <v>23</v>
      </c>
    </row>
    <row r="15" customFormat="false" ht="23.85" hidden="false" customHeight="false" outlineLevel="0" collapsed="false">
      <c r="A15" s="4" t="n">
        <v>11</v>
      </c>
      <c r="B15" s="5" t="s">
        <v>90</v>
      </c>
      <c r="C15" s="5" t="s">
        <v>91</v>
      </c>
      <c r="D15" s="4" t="n">
        <v>2015</v>
      </c>
      <c r="E15" s="5" t="s">
        <v>92</v>
      </c>
      <c r="F15" s="5" t="s">
        <v>93</v>
      </c>
      <c r="G15" s="5" t="s">
        <v>94</v>
      </c>
      <c r="H15" s="5" t="s">
        <v>95</v>
      </c>
      <c r="I15" s="5" t="s">
        <v>36</v>
      </c>
      <c r="J15" s="5" t="s">
        <v>21</v>
      </c>
      <c r="K15" s="5" t="s">
        <v>96</v>
      </c>
      <c r="L15" s="5" t="s">
        <v>65</v>
      </c>
    </row>
    <row r="16" customFormat="false" ht="23.85" hidden="false" customHeight="false" outlineLevel="0" collapsed="false">
      <c r="A16" s="6" t="n">
        <v>12</v>
      </c>
      <c r="B16" s="7" t="s">
        <v>97</v>
      </c>
      <c r="C16" s="7" t="s">
        <v>98</v>
      </c>
      <c r="D16" s="6" t="n">
        <v>2013</v>
      </c>
      <c r="E16" s="7" t="s">
        <v>99</v>
      </c>
      <c r="F16" s="7" t="s">
        <v>100</v>
      </c>
      <c r="G16" s="7" t="s">
        <v>101</v>
      </c>
      <c r="H16" s="7" t="s">
        <v>35</v>
      </c>
      <c r="I16" s="7" t="s">
        <v>36</v>
      </c>
      <c r="J16" s="7" t="s">
        <v>56</v>
      </c>
      <c r="K16" s="7" t="s">
        <v>102</v>
      </c>
      <c r="L16" s="7" t="s">
        <v>23</v>
      </c>
    </row>
    <row r="17" customFormat="false" ht="35.05" hidden="false" customHeight="false" outlineLevel="0" collapsed="false">
      <c r="A17" s="6" t="n">
        <v>13</v>
      </c>
      <c r="B17" s="7" t="s">
        <v>103</v>
      </c>
      <c r="C17" s="7" t="s">
        <v>104</v>
      </c>
      <c r="D17" s="6" t="n">
        <v>2016</v>
      </c>
      <c r="E17" s="7" t="s">
        <v>105</v>
      </c>
      <c r="F17" s="7" t="s">
        <v>106</v>
      </c>
      <c r="G17" s="7" t="s">
        <v>107</v>
      </c>
      <c r="H17" s="7" t="s">
        <v>71</v>
      </c>
      <c r="I17" s="7" t="s">
        <v>72</v>
      </c>
      <c r="J17" s="7" t="s">
        <v>56</v>
      </c>
      <c r="K17" s="7" t="s">
        <v>108</v>
      </c>
      <c r="L17" s="7" t="s">
        <v>49</v>
      </c>
    </row>
    <row r="18" customFormat="false" ht="23.85" hidden="false" customHeight="false" outlineLevel="0" collapsed="false">
      <c r="A18" s="6" t="n">
        <v>14</v>
      </c>
      <c r="B18" s="7" t="s">
        <v>109</v>
      </c>
      <c r="C18" s="7" t="s">
        <v>110</v>
      </c>
      <c r="D18" s="6" t="n">
        <v>2024</v>
      </c>
      <c r="E18" s="7" t="s">
        <v>111</v>
      </c>
      <c r="F18" s="7" t="s">
        <v>112</v>
      </c>
      <c r="G18" s="7" t="s">
        <v>113</v>
      </c>
      <c r="H18" s="7" t="s">
        <v>35</v>
      </c>
      <c r="I18" s="7" t="s">
        <v>36</v>
      </c>
      <c r="J18" s="7" t="s">
        <v>56</v>
      </c>
      <c r="K18" s="7" t="s">
        <v>114</v>
      </c>
      <c r="L18" s="7" t="s">
        <v>23</v>
      </c>
    </row>
    <row r="19" customFormat="false" ht="23.85" hidden="false" customHeight="false" outlineLevel="0" collapsed="false">
      <c r="A19" s="4" t="n">
        <v>15</v>
      </c>
      <c r="B19" s="5" t="s">
        <v>115</v>
      </c>
      <c r="C19" s="5" t="s">
        <v>116</v>
      </c>
      <c r="D19" s="4" t="n">
        <v>2024</v>
      </c>
      <c r="E19" s="5" t="s">
        <v>117</v>
      </c>
      <c r="F19" s="5" t="s">
        <v>118</v>
      </c>
      <c r="G19" s="5" t="s">
        <v>119</v>
      </c>
      <c r="H19" s="5" t="s">
        <v>120</v>
      </c>
      <c r="I19" s="5" t="s">
        <v>20</v>
      </c>
      <c r="J19" s="5" t="s">
        <v>21</v>
      </c>
      <c r="K19" s="5" t="s">
        <v>121</v>
      </c>
      <c r="L19" s="5" t="s">
        <v>122</v>
      </c>
    </row>
    <row r="20" customFormat="false" ht="23.85" hidden="false" customHeight="false" outlineLevel="0" collapsed="false">
      <c r="A20" s="4" t="n">
        <v>16</v>
      </c>
      <c r="B20" s="5" t="s">
        <v>123</v>
      </c>
      <c r="C20" s="5" t="s">
        <v>124</v>
      </c>
      <c r="D20" s="4" t="n">
        <v>2026</v>
      </c>
      <c r="E20" s="5" t="s">
        <v>125</v>
      </c>
      <c r="F20" s="5" t="s">
        <v>17</v>
      </c>
      <c r="G20" s="5" t="s">
        <v>126</v>
      </c>
      <c r="H20" s="5" t="s">
        <v>127</v>
      </c>
      <c r="I20" s="5" t="s">
        <v>20</v>
      </c>
      <c r="J20" s="5" t="s">
        <v>21</v>
      </c>
      <c r="K20" s="5" t="s">
        <v>128</v>
      </c>
      <c r="L20" s="5" t="s">
        <v>129</v>
      </c>
    </row>
    <row r="21" customFormat="false" ht="23.85" hidden="false" customHeight="false" outlineLevel="0" collapsed="false">
      <c r="A21" s="4" t="n">
        <v>17</v>
      </c>
      <c r="B21" s="5" t="s">
        <v>130</v>
      </c>
      <c r="C21" s="5" t="s">
        <v>131</v>
      </c>
      <c r="D21" s="4" t="n">
        <v>2025</v>
      </c>
      <c r="E21" s="5" t="s">
        <v>132</v>
      </c>
      <c r="F21" s="5" t="s">
        <v>17</v>
      </c>
      <c r="G21" s="5" t="s">
        <v>133</v>
      </c>
      <c r="H21" s="5" t="s">
        <v>127</v>
      </c>
      <c r="I21" s="5" t="s">
        <v>20</v>
      </c>
      <c r="J21" s="5" t="s">
        <v>21</v>
      </c>
      <c r="K21" s="5" t="s">
        <v>128</v>
      </c>
      <c r="L21" s="5" t="s">
        <v>129</v>
      </c>
    </row>
    <row r="22" customFormat="false" ht="35.05" hidden="false" customHeight="false" outlineLevel="0" collapsed="false">
      <c r="A22" s="4" t="n">
        <v>18</v>
      </c>
      <c r="B22" s="5" t="s">
        <v>134</v>
      </c>
      <c r="C22" s="5" t="s">
        <v>135</v>
      </c>
      <c r="D22" s="4" t="n">
        <v>2023</v>
      </c>
      <c r="E22" s="5" t="s">
        <v>136</v>
      </c>
      <c r="F22" s="5" t="s">
        <v>93</v>
      </c>
      <c r="G22" s="5" t="s">
        <v>137</v>
      </c>
      <c r="H22" s="5" t="s">
        <v>127</v>
      </c>
      <c r="I22" s="5" t="s">
        <v>29</v>
      </c>
      <c r="J22" s="5" t="s">
        <v>21</v>
      </c>
      <c r="K22" s="5" t="s">
        <v>138</v>
      </c>
      <c r="L22" s="5" t="s">
        <v>139</v>
      </c>
    </row>
    <row r="23" customFormat="false" ht="23.85" hidden="false" customHeight="false" outlineLevel="0" collapsed="false">
      <c r="A23" s="4" t="n">
        <v>19</v>
      </c>
      <c r="B23" s="5" t="s">
        <v>140</v>
      </c>
      <c r="C23" s="5" t="s">
        <v>141</v>
      </c>
      <c r="D23" s="4" t="n">
        <v>2025</v>
      </c>
      <c r="E23" s="5" t="s">
        <v>142</v>
      </c>
      <c r="F23" s="5" t="s">
        <v>17</v>
      </c>
      <c r="G23" s="5" t="s">
        <v>143</v>
      </c>
      <c r="H23" s="5" t="s">
        <v>144</v>
      </c>
      <c r="I23" s="5" t="s">
        <v>20</v>
      </c>
      <c r="J23" s="5" t="s">
        <v>21</v>
      </c>
      <c r="K23" s="5" t="s">
        <v>145</v>
      </c>
      <c r="L23" s="5" t="s">
        <v>129</v>
      </c>
    </row>
    <row r="24" customFormat="false" ht="23.85" hidden="false" customHeight="false" outlineLevel="0" collapsed="false">
      <c r="A24" s="4" t="n">
        <v>20</v>
      </c>
      <c r="B24" s="5" t="s">
        <v>146</v>
      </c>
      <c r="C24" s="5" t="s">
        <v>147</v>
      </c>
      <c r="D24" s="4" t="n">
        <v>2016</v>
      </c>
      <c r="E24" s="5" t="s">
        <v>148</v>
      </c>
      <c r="F24" s="5" t="s">
        <v>149</v>
      </c>
      <c r="G24" s="5" t="s">
        <v>150</v>
      </c>
      <c r="H24" s="5" t="s">
        <v>35</v>
      </c>
      <c r="I24" s="5" t="s">
        <v>20</v>
      </c>
      <c r="J24" s="5" t="s">
        <v>21</v>
      </c>
      <c r="K24" s="5" t="s">
        <v>151</v>
      </c>
      <c r="L24" s="5" t="s">
        <v>129</v>
      </c>
    </row>
    <row r="25" customFormat="false" ht="23.85" hidden="false" customHeight="false" outlineLevel="0" collapsed="false">
      <c r="A25" s="4" t="n">
        <v>21</v>
      </c>
      <c r="B25" s="5" t="s">
        <v>152</v>
      </c>
      <c r="C25" s="5" t="s">
        <v>153</v>
      </c>
      <c r="D25" s="4" t="n">
        <v>2019</v>
      </c>
      <c r="E25" s="5" t="s">
        <v>154</v>
      </c>
      <c r="F25" s="5" t="s">
        <v>17</v>
      </c>
      <c r="G25" s="5" t="s">
        <v>155</v>
      </c>
      <c r="H25" s="5" t="s">
        <v>156</v>
      </c>
      <c r="I25" s="5" t="s">
        <v>36</v>
      </c>
      <c r="J25" s="5" t="s">
        <v>21</v>
      </c>
      <c r="K25" s="5" t="s">
        <v>157</v>
      </c>
      <c r="L25" s="5" t="s">
        <v>129</v>
      </c>
    </row>
    <row r="26" customFormat="false" ht="23.85" hidden="false" customHeight="false" outlineLevel="0" collapsed="false">
      <c r="A26" s="4" t="n">
        <v>22</v>
      </c>
      <c r="B26" s="5" t="s">
        <v>158</v>
      </c>
      <c r="C26" s="5" t="s">
        <v>159</v>
      </c>
      <c r="D26" s="4" t="n">
        <v>2008</v>
      </c>
      <c r="E26" s="5" t="s">
        <v>160</v>
      </c>
      <c r="F26" s="5" t="s">
        <v>149</v>
      </c>
      <c r="G26" s="5" t="s">
        <v>161</v>
      </c>
      <c r="H26" s="5" t="s">
        <v>71</v>
      </c>
      <c r="I26" s="5" t="s">
        <v>72</v>
      </c>
      <c r="J26" s="5" t="s">
        <v>21</v>
      </c>
      <c r="K26" s="5" t="s">
        <v>162</v>
      </c>
      <c r="L26" s="5" t="s">
        <v>129</v>
      </c>
    </row>
    <row r="27" customFormat="false" ht="23.85" hidden="false" customHeight="false" outlineLevel="0" collapsed="false">
      <c r="A27" s="10" t="n">
        <v>23</v>
      </c>
      <c r="B27" s="11" t="s">
        <v>163</v>
      </c>
      <c r="C27" s="11" t="s">
        <v>164</v>
      </c>
      <c r="D27" s="10" t="n">
        <v>2022</v>
      </c>
      <c r="E27" s="11" t="s">
        <v>165</v>
      </c>
      <c r="F27" s="11" t="s">
        <v>17</v>
      </c>
      <c r="G27" s="11" t="s">
        <v>166</v>
      </c>
      <c r="H27" s="11" t="s">
        <v>167</v>
      </c>
      <c r="I27" s="11" t="s">
        <v>168</v>
      </c>
      <c r="J27" s="11" t="s">
        <v>169</v>
      </c>
      <c r="K27" s="11" t="s">
        <v>170</v>
      </c>
      <c r="L27" s="11" t="s">
        <v>171</v>
      </c>
    </row>
    <row r="28" customFormat="false" ht="23.85" hidden="false" customHeight="false" outlineLevel="0" collapsed="false">
      <c r="A28" s="10" t="n">
        <v>24</v>
      </c>
      <c r="B28" s="11" t="s">
        <v>172</v>
      </c>
      <c r="C28" s="11" t="s">
        <v>173</v>
      </c>
      <c r="D28" s="10" t="n">
        <v>2019</v>
      </c>
      <c r="E28" s="11" t="s">
        <v>174</v>
      </c>
      <c r="F28" s="11" t="s">
        <v>17</v>
      </c>
      <c r="G28" s="11" t="s">
        <v>175</v>
      </c>
      <c r="H28" s="11" t="s">
        <v>167</v>
      </c>
      <c r="I28" s="11" t="s">
        <v>168</v>
      </c>
      <c r="J28" s="11" t="s">
        <v>169</v>
      </c>
      <c r="K28" s="11" t="s">
        <v>176</v>
      </c>
      <c r="L28" s="11" t="s">
        <v>177</v>
      </c>
    </row>
    <row r="29" customFormat="false" ht="23.85" hidden="false" customHeight="false" outlineLevel="0" collapsed="false">
      <c r="A29" s="10" t="n">
        <v>25</v>
      </c>
      <c r="B29" s="11" t="s">
        <v>178</v>
      </c>
      <c r="C29" s="11" t="s">
        <v>179</v>
      </c>
      <c r="D29" s="10" t="n">
        <v>2025</v>
      </c>
      <c r="E29" s="11" t="s">
        <v>180</v>
      </c>
      <c r="F29" s="11" t="s">
        <v>93</v>
      </c>
      <c r="G29" s="11" t="s">
        <v>181</v>
      </c>
      <c r="H29" s="11" t="s">
        <v>182</v>
      </c>
      <c r="I29" s="11" t="s">
        <v>168</v>
      </c>
      <c r="J29" s="11" t="s">
        <v>169</v>
      </c>
      <c r="K29" s="11" t="s">
        <v>183</v>
      </c>
      <c r="L29" s="11" t="s">
        <v>184</v>
      </c>
    </row>
    <row r="30" customFormat="false" ht="23.85" hidden="false" customHeight="false" outlineLevel="0" collapsed="false">
      <c r="A30" s="10" t="n">
        <v>26</v>
      </c>
      <c r="B30" s="11" t="s">
        <v>185</v>
      </c>
      <c r="C30" s="11" t="s">
        <v>186</v>
      </c>
      <c r="D30" s="10" t="n">
        <v>2022</v>
      </c>
      <c r="E30" s="11" t="s">
        <v>187</v>
      </c>
      <c r="F30" s="11" t="s">
        <v>188</v>
      </c>
      <c r="G30" s="11" t="s">
        <v>189</v>
      </c>
      <c r="H30" s="11" t="s">
        <v>190</v>
      </c>
      <c r="I30" s="11" t="s">
        <v>168</v>
      </c>
      <c r="J30" s="11" t="s">
        <v>169</v>
      </c>
      <c r="K30" s="11" t="s">
        <v>191</v>
      </c>
      <c r="L30" s="11" t="s">
        <v>192</v>
      </c>
    </row>
    <row r="31" customFormat="false" ht="35.05" hidden="false" customHeight="false" outlineLevel="0" collapsed="false">
      <c r="A31" s="10" t="n">
        <v>27</v>
      </c>
      <c r="B31" s="11" t="s">
        <v>193</v>
      </c>
      <c r="C31" s="11" t="s">
        <v>194</v>
      </c>
      <c r="D31" s="10" t="n">
        <v>2022</v>
      </c>
      <c r="E31" s="11" t="s">
        <v>195</v>
      </c>
      <c r="F31" s="11" t="s">
        <v>17</v>
      </c>
      <c r="G31" s="11" t="s">
        <v>196</v>
      </c>
      <c r="H31" s="11" t="s">
        <v>167</v>
      </c>
      <c r="I31" s="11" t="s">
        <v>168</v>
      </c>
      <c r="J31" s="11" t="s">
        <v>169</v>
      </c>
      <c r="K31" s="11" t="s">
        <v>197</v>
      </c>
      <c r="L31" s="11" t="s">
        <v>198</v>
      </c>
    </row>
    <row r="32" customFormat="false" ht="23.85" hidden="false" customHeight="false" outlineLevel="0" collapsed="false">
      <c r="A32" s="10" t="n">
        <v>28</v>
      </c>
      <c r="B32" s="11" t="s">
        <v>199</v>
      </c>
      <c r="C32" s="11" t="s">
        <v>200</v>
      </c>
      <c r="D32" s="10" t="n">
        <v>2012</v>
      </c>
      <c r="E32" s="11" t="s">
        <v>201</v>
      </c>
      <c r="F32" s="11" t="s">
        <v>202</v>
      </c>
      <c r="G32" s="11" t="s">
        <v>203</v>
      </c>
      <c r="H32" s="11" t="s">
        <v>204</v>
      </c>
      <c r="I32" s="11" t="s">
        <v>29</v>
      </c>
      <c r="J32" s="11" t="s">
        <v>169</v>
      </c>
      <c r="K32" s="11" t="s">
        <v>205</v>
      </c>
      <c r="L32" s="11" t="s">
        <v>206</v>
      </c>
    </row>
    <row r="33" customFormat="false" ht="23.85" hidden="false" customHeight="false" outlineLevel="0" collapsed="false">
      <c r="A33" s="10" t="n">
        <v>29</v>
      </c>
      <c r="B33" s="11" t="s">
        <v>207</v>
      </c>
      <c r="C33" s="11" t="s">
        <v>208</v>
      </c>
      <c r="D33" s="10" t="s">
        <v>85</v>
      </c>
      <c r="E33" s="11" t="s">
        <v>209</v>
      </c>
      <c r="F33" s="11" t="s">
        <v>210</v>
      </c>
      <c r="G33" s="11" t="s">
        <v>211</v>
      </c>
      <c r="H33" s="11" t="s">
        <v>212</v>
      </c>
      <c r="I33" s="11" t="s">
        <v>29</v>
      </c>
      <c r="J33" s="11" t="s">
        <v>169</v>
      </c>
      <c r="K33" s="11" t="s">
        <v>213</v>
      </c>
      <c r="L33" s="11" t="s">
        <v>214</v>
      </c>
    </row>
    <row r="34" customFormat="false" ht="35.05" hidden="false" customHeight="false" outlineLevel="0" collapsed="false">
      <c r="A34" s="8" t="n">
        <v>30</v>
      </c>
      <c r="B34" s="9" t="s">
        <v>215</v>
      </c>
      <c r="C34" s="9" t="s">
        <v>216</v>
      </c>
      <c r="D34" s="8" t="n">
        <v>2019</v>
      </c>
      <c r="E34" s="9" t="s">
        <v>217</v>
      </c>
      <c r="F34" s="9" t="s">
        <v>218</v>
      </c>
      <c r="G34" s="9" t="s">
        <v>219</v>
      </c>
      <c r="H34" s="9" t="s">
        <v>220</v>
      </c>
      <c r="I34" s="9" t="s">
        <v>36</v>
      </c>
      <c r="J34" s="9" t="s">
        <v>80</v>
      </c>
      <c r="K34" s="9" t="s">
        <v>221</v>
      </c>
      <c r="L34" s="9" t="s">
        <v>222</v>
      </c>
    </row>
    <row r="36" customFormat="false" ht="15" hidden="false" customHeight="false" outlineLevel="0" collapsed="false">
      <c r="A36" s="2" t="s">
        <v>223</v>
      </c>
    </row>
  </sheetData>
  <autoFilter ref="A4:L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224</v>
      </c>
    </row>
    <row r="3" customFormat="false" ht="15" hidden="false" customHeight="false" outlineLevel="0" collapsed="false">
      <c r="A3" s="12" t="s">
        <v>10</v>
      </c>
      <c r="B3" s="12" t="s">
        <v>225</v>
      </c>
    </row>
    <row r="4" customFormat="false" ht="15" hidden="false" customHeight="false" outlineLevel="0" collapsed="false">
      <c r="A4" s="13" t="s">
        <v>36</v>
      </c>
      <c r="B4" s="13" t="n">
        <f aca="false">COUNTIF('Source Review Matrix'!$I$5:$I$34,A4)</f>
        <v>9</v>
      </c>
    </row>
    <row r="5" customFormat="false" ht="15" hidden="false" customHeight="false" outlineLevel="0" collapsed="false">
      <c r="A5" s="13" t="s">
        <v>72</v>
      </c>
      <c r="B5" s="13" t="n">
        <f aca="false">COUNTIF('Source Review Matrix'!$I$5:$I$34,A5)</f>
        <v>3</v>
      </c>
    </row>
    <row r="6" customFormat="false" ht="15" hidden="false" customHeight="false" outlineLevel="0" collapsed="false">
      <c r="A6" s="13" t="s">
        <v>20</v>
      </c>
      <c r="B6" s="13" t="n">
        <f aca="false">COUNTIF('Source Review Matrix'!$I$5:$I$34,A6)</f>
        <v>8</v>
      </c>
    </row>
    <row r="7" customFormat="false" ht="15" hidden="false" customHeight="false" outlineLevel="0" collapsed="false">
      <c r="A7" s="13" t="s">
        <v>29</v>
      </c>
      <c r="B7" s="13" t="n">
        <f aca="false">COUNTIF('Source Review Matrix'!$I$5:$I$34,A7)</f>
        <v>5</v>
      </c>
    </row>
    <row r="8" customFormat="false" ht="15" hidden="false" customHeight="false" outlineLevel="0" collapsed="false">
      <c r="A8" s="13" t="s">
        <v>168</v>
      </c>
      <c r="B8" s="13" t="n">
        <f aca="false">COUNTIF('Source Review Matrix'!$I$5:$I$34,A8)</f>
        <v>5</v>
      </c>
    </row>
    <row r="9" customFormat="false" ht="15" hidden="false" customHeight="false" outlineLevel="0" collapsed="false">
      <c r="A9" s="14" t="s">
        <v>226</v>
      </c>
      <c r="B9" s="14" t="n">
        <f aca="false">SUM(B4:B8)</f>
        <v>30</v>
      </c>
    </row>
    <row r="11" customFormat="false" ht="15" hidden="false" customHeight="false" outlineLevel="0" collapsed="false">
      <c r="A11" s="12" t="s">
        <v>11</v>
      </c>
      <c r="B11" s="12" t="s">
        <v>225</v>
      </c>
    </row>
    <row r="12" customFormat="false" ht="15" hidden="false" customHeight="false" outlineLevel="0" collapsed="false">
      <c r="A12" s="13" t="s">
        <v>80</v>
      </c>
      <c r="B12" s="13" t="n">
        <f aca="false">COUNTIF('Source Review Matrix'!$J$5:$J$34,A12)</f>
        <v>3</v>
      </c>
    </row>
    <row r="13" customFormat="false" ht="15" hidden="false" customHeight="false" outlineLevel="0" collapsed="false">
      <c r="A13" s="13" t="s">
        <v>56</v>
      </c>
      <c r="B13" s="13" t="n">
        <f aca="false">COUNTIF('Source Review Matrix'!$J$5:$J$34,A13)</f>
        <v>6</v>
      </c>
    </row>
    <row r="14" customFormat="false" ht="15" hidden="false" customHeight="false" outlineLevel="0" collapsed="false">
      <c r="A14" s="13" t="s">
        <v>21</v>
      </c>
      <c r="B14" s="13" t="n">
        <f aca="false">COUNTIF('Source Review Matrix'!$J$5:$J$34,A14)</f>
        <v>14</v>
      </c>
    </row>
    <row r="15" customFormat="false" ht="15" hidden="false" customHeight="false" outlineLevel="0" collapsed="false">
      <c r="A15" s="13" t="s">
        <v>169</v>
      </c>
      <c r="B15" s="13" t="n">
        <f aca="false">COUNTIF('Source Review Matrix'!$J$5:$J$34,A15)</f>
        <v>7</v>
      </c>
    </row>
    <row r="16" customFormat="false" ht="15" hidden="false" customHeight="false" outlineLevel="0" collapsed="false">
      <c r="A16" s="14" t="s">
        <v>226</v>
      </c>
      <c r="B16" s="14" t="n">
        <f aca="false">SUM(B12:B15)</f>
        <v>30</v>
      </c>
    </row>
    <row r="18" customFormat="false" ht="15" hidden="false" customHeight="false" outlineLevel="0" collapsed="false">
      <c r="A18" s="14" t="s">
        <v>227</v>
      </c>
      <c r="B18" s="14" t="n">
        <f aca="false">COUNTA('Source Review Matrix'!A5:A34)</f>
        <v>30</v>
      </c>
    </row>
    <row r="19" customFormat="false" ht="15" hidden="false" customHeight="false" outlineLevel="0" collapsed="false">
      <c r="A19" s="13" t="s">
        <v>228</v>
      </c>
      <c r="B19" s="13" t="str">
        <f aca="false">IF(B18&gt;=30,"Yes","No")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5" t="s">
        <v>229</v>
      </c>
    </row>
    <row r="2" customFormat="false" ht="15" hidden="false" customHeight="false" outlineLevel="0" collapsed="false">
      <c r="A2" s="16" t="s">
        <v>230</v>
      </c>
    </row>
    <row r="3" customFormat="false" ht="23.85" hidden="false" customHeight="false" outlineLevel="0" collapsed="false">
      <c r="A3" s="16" t="s">
        <v>231</v>
      </c>
    </row>
    <row r="4" customFormat="false" ht="15" hidden="false" customHeight="false" outlineLevel="0" collapsed="false">
      <c r="A4" s="16" t="s">
        <v>232</v>
      </c>
    </row>
    <row r="5" customFormat="false" ht="15" hidden="false" customHeight="false" outlineLevel="0" collapsed="false">
      <c r="A5" s="16"/>
    </row>
    <row r="6" customFormat="false" ht="15" hidden="false" customHeight="false" outlineLevel="0" collapsed="false">
      <c r="A6" s="15" t="s">
        <v>233</v>
      </c>
    </row>
    <row r="7" customFormat="false" ht="15" hidden="false" customHeight="false" outlineLevel="0" collapsed="false">
      <c r="A7" s="16" t="s">
        <v>234</v>
      </c>
    </row>
    <row r="8" customFormat="false" ht="15" hidden="false" customHeight="false" outlineLevel="0" collapsed="false">
      <c r="A8" s="16" t="s">
        <v>235</v>
      </c>
    </row>
    <row r="9" customFormat="false" ht="15" hidden="false" customHeight="false" outlineLevel="0" collapsed="false">
      <c r="A9" s="16" t="s">
        <v>236</v>
      </c>
    </row>
    <row r="10" customFormat="false" ht="15" hidden="false" customHeight="false" outlineLevel="0" collapsed="false">
      <c r="A10" s="16" t="s">
        <v>237</v>
      </c>
    </row>
    <row r="11" customFormat="false" ht="15" hidden="false" customHeight="false" outlineLevel="0" collapsed="false">
      <c r="A11" s="16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2026-10-17T08:14:55Z</dcterms:created>
  <dc:creator>openpyxl</dc:creator>
  <dc:description/>
  <dc:language>en-US</dc:language>
  <cp:lastModifiedBy/>
  <dcterms:modified xsi:type="dcterms:W3CDTF">2026-10-17T08:14:55Z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